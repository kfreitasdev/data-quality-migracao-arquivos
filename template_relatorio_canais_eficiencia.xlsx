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aprevi-my.sharepoint.com/personal/ac_kleber_quanta-previdencia_com_br/Documents/"/>
    </mc:Choice>
  </mc:AlternateContent>
  <xr:revisionPtr revIDLastSave="106" documentId="8_{B9F27261-3ACF-4341-8A48-9B8D9DABB3F8}" xr6:coauthVersionLast="47" xr6:coauthVersionMax="47" xr10:uidLastSave="{A107148C-2474-442F-AA2A-6DAA9D53E057}"/>
  <bookViews>
    <workbookView xWindow="2565" yWindow="2550" windowWidth="26250" windowHeight="11385" xr2:uid="{93432986-D364-49ED-9430-64788DB7419B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J16" i="1"/>
  <c r="D15" i="1"/>
  <c r="J15" i="1"/>
  <c r="D14" i="1"/>
  <c r="J14" i="1"/>
  <c r="D13" i="1"/>
  <c r="J13" i="1"/>
  <c r="D12" i="1"/>
  <c r="J12" i="1"/>
  <c r="J2" i="1"/>
  <c r="J3" i="1"/>
  <c r="J4" i="1"/>
  <c r="J5" i="1"/>
  <c r="J6" i="1"/>
  <c r="J7" i="1"/>
  <c r="J8" i="1"/>
  <c r="J9" i="1"/>
  <c r="J10" i="1"/>
  <c r="J11" i="1"/>
  <c r="D2" i="1"/>
  <c r="D3" i="1"/>
  <c r="D4" i="1"/>
  <c r="D5" i="1"/>
  <c r="D6" i="1"/>
  <c r="D7" i="1"/>
  <c r="D8" i="1"/>
  <c r="D9" i="1"/>
  <c r="D10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tc={12CF9335-C04F-4D38-87D7-FBD23525E1E1}</author>
    <author>tc={DAD16969-3733-4F37-8DDE-95F5CCCA67E6}</author>
  </authors>
  <commentList>
    <comment ref="D1" authorId="0" shapeId="0" xr:uid="{12CF9335-C04F-4D38-87D7-FBD23525E1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POSSUI FÓRMULA</t>
      </text>
    </comment>
    <comment ref="J1" authorId="1" shapeId="0" xr:uid="{DAD16969-3733-4F37-8DDE-95F5CCCA67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POSSUI FÓRMULA</t>
      </text>
    </comment>
  </commentList>
</comments>
</file>

<file path=xl/sharedStrings.xml><?xml version="1.0" encoding="utf-8"?>
<sst xmlns="http://schemas.openxmlformats.org/spreadsheetml/2006/main" count="41" uniqueCount="21">
  <si>
    <t>COD_TIME</t>
  </si>
  <si>
    <t>DSC_TIME</t>
  </si>
  <si>
    <t>CAPACITY_CONTRATADA</t>
  </si>
  <si>
    <t>HORAS_OFF</t>
  </si>
  <si>
    <t>QTD_DEVS</t>
  </si>
  <si>
    <t>QTD_INTEGRANTES</t>
  </si>
  <si>
    <t>DIAS_MES</t>
  </si>
  <si>
    <t>CUSTO_CONTRATADO</t>
  </si>
  <si>
    <t>ONN</t>
  </si>
  <si>
    <t>Onboarding</t>
  </si>
  <si>
    <t>PREV</t>
  </si>
  <si>
    <t>Atena</t>
  </si>
  <si>
    <t>PREVSUS</t>
  </si>
  <si>
    <t>Atena - Sustentação</t>
  </si>
  <si>
    <t>QMA</t>
  </si>
  <si>
    <t>Mobile</t>
  </si>
  <si>
    <t>TNT</t>
  </si>
  <si>
    <t>Processos Digitais</t>
  </si>
  <si>
    <t>DT_REFERENCIA</t>
  </si>
  <si>
    <t>CUSTO_REALIZADO</t>
  </si>
  <si>
    <t>HORA_MEDIA_TIME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</si>
</sst>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2" xfId="0" applyFill="1" applyBorder="1"/>
    <xf numFmtId="3" fontId="0" fillId="3" borderId="2" xfId="0" applyNumberFormat="1" applyFill="1" applyBorder="1"/>
    <xf numFmtId="4" fontId="0" fillId="3" borderId="2" xfId="0" applyNumberFormat="1" applyFill="1" applyBorder="1"/>
    <xf numFmtId="0" fontId="0" fillId="0" borderId="2" xfId="0" applyBorder="1"/>
    <xf numFmtId="3" fontId="0" fillId="0" borderId="2" xfId="0" applyNumberFormat="1" applyBorder="1"/>
    <xf numFmtId="4" fontId="0" fillId="0" borderId="2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4" fontId="0" fillId="3" borderId="2" xfId="0" applyNumberFormat="1" applyFill="1" applyBorder="1"/>
    <xf numFmtId="14" fontId="0" fillId="0" borderId="2" xfId="0" applyNumberFormat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13">
    <dxf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leber Freitas - Arruda Consulting" id="{53F55138-DB52-4B91-8960-CF42EFFEE19D}" userId="S::ac.kleber@quanta-previdencia.com.br::ff41e3b7-32a2-46c3-a6bd-8d0a5489f1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9675A-966D-48EF-8DC8-4B27251D7FC6}" name="Tabela1" displayName="Tabela1" ref="A1:K16" totalsRowShown="0" headerRowDxfId="12" tableBorderDxfId="11">
  <autoFilter ref="A1:K16" xr:uid="{E689675A-966D-48EF-8DC8-4B27251D7FC6}"/>
  <tableColumns count="11">
    <tableColumn id="1" xr3:uid="{0B63C3CF-A40F-463A-AEC9-226CEF36A7D9}" name="DT_REFERENCIA" dataDxfId="10"/>
    <tableColumn id="2" xr3:uid="{9A153CAA-B420-4ECB-9218-3E36B493AC60}" name="COD_TIME" dataDxfId="9"/>
    <tableColumn id="3" xr3:uid="{70B72898-C722-416B-8B40-9B2A49311890}" name="DSC_TIME" dataDxfId="8"/>
    <tableColumn id="4" xr3:uid="{E1AF2015-753E-41EC-B920-8B1BFBF9009B}" name="CAPACITY_CONTRATADA" dataDxfId="7">
      <calculatedColumnFormula>Tabela1[[#This Row],[DIAS_MES]]*Tabela1[[#This Row],[QTD_DEVS]]*8</calculatedColumnFormula>
    </tableColumn>
    <tableColumn id="5" xr3:uid="{FEC005B2-2C94-461A-9BB3-5D9C49BD0B94}" name="HORAS_OFF" dataDxfId="6"/>
    <tableColumn id="6" xr3:uid="{B1579A3B-9096-42B4-A7B4-AD4A29723259}" name="QTD_DEVS" dataDxfId="5"/>
    <tableColumn id="7" xr3:uid="{2B1DD29D-B911-40C4-A96B-363BF03C0BB4}" name="QTD_INTEGRANTES" dataDxfId="4"/>
    <tableColumn id="8" xr3:uid="{3622DC37-DAA1-4C5E-AE6C-7AE43B4FFA2E}" name="DIAS_MES" dataDxfId="3"/>
    <tableColumn id="9" xr3:uid="{F4122F68-7DBF-4EBE-9092-F4A8F18D682D}" name="CUSTO_CONTRATADO" dataDxfId="2"/>
    <tableColumn id="11" xr3:uid="{0EC887CC-8C3F-429C-916D-356DF9CB1B91}" name="HORA_MEDIA_TIME" dataDxfId="1">
      <calculatedColumnFormula>IFERROR(Tabela1[[#This Row],[CUSTO_CONTRATADO]]/(Tabela1[[#This Row],[QTD_DEVS]]*Tabela1[[#This Row],[DIAS_MES]]*8),0)</calculatedColumnFormula>
    </tableColumn>
    <tableColumn id="10" xr3:uid="{AF317401-2FD6-41B3-A707-72EED7D9E339}" name="CUSTO_REALIZ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3-18T17:23:48.36" personId="{53F55138-DB52-4B91-8960-CF42EFFEE19D}" id="{12CF9335-C04F-4D38-87D7-FBD23525E1E1}">
    <text>COLUNA POSSUI FÓRMULA</text>
  </threadedComment>
  <threadedComment ref="J1" dT="2025-03-18T17:25:05.31" personId="{53F55138-DB52-4B91-8960-CF42EFFEE19D}" id="{DAD16969-3733-4F37-8DDE-95F5CCCA67E6}">
    <text>COLUNA POSSUI FÓRMULA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1FAC-3A27-433D-BF38-1860FC0100BB}">
  <dimension ref="A1:K16"/>
  <sheetViews>
    <sheetView showGridLines="0" tabSelected="1" workbookViewId="0">
      <selection activeCell="H2" sqref="H2"/>
    </sheetView>
  </sheetViews>
  <sheetFormatPr defaultRowHeight="15" x14ac:dyDescent="0.25"/>
  <cols>
    <col min="1" max="1" width="18" customWidth="1"/>
    <col min="2" max="2" width="12.7109375" bestFit="1" customWidth="1"/>
    <col min="3" max="3" width="18.7109375" bestFit="1" customWidth="1"/>
    <col min="4" max="4" width="25.42578125" customWidth="1"/>
    <col min="5" max="5" width="13.85546875" customWidth="1"/>
    <col min="6" max="6" width="12.7109375" customWidth="1"/>
    <col min="7" max="7" width="20.5703125" customWidth="1"/>
    <col min="8" max="8" width="12.28515625" bestFit="1" customWidth="1"/>
    <col min="9" max="9" width="23" customWidth="1"/>
    <col min="10" max="10" width="20.7109375" bestFit="1" customWidth="1"/>
    <col min="11" max="11" width="20.85546875" bestFit="1" customWidth="1"/>
  </cols>
  <sheetData>
    <row r="1" spans="1:11" x14ac:dyDescent="0.25">
      <c r="A1" s="13" t="s">
        <v>18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20</v>
      </c>
      <c r="K1" s="13" t="s">
        <v>19</v>
      </c>
    </row>
    <row r="2" spans="1:11" x14ac:dyDescent="0.25">
      <c r="A2" s="10">
        <v>45658</v>
      </c>
      <c r="B2" s="2" t="s">
        <v>8</v>
      </c>
      <c r="C2" s="2" t="s">
        <v>9</v>
      </c>
      <c r="D2" s="3">
        <f>Tabela1[[#This Row],[DIAS_MES]]*Tabela1[[#This Row],[QTD_DEVS]]*8</f>
        <v>1288</v>
      </c>
      <c r="E2" s="3">
        <v>48</v>
      </c>
      <c r="F2" s="3">
        <v>7</v>
      </c>
      <c r="G2" s="3"/>
      <c r="H2" s="3">
        <v>23</v>
      </c>
      <c r="I2" s="4">
        <v>224958</v>
      </c>
      <c r="J2" s="4">
        <f>IFERROR(Tabela1[[#This Row],[CUSTO_CONTRATADO]]/(Tabela1[[#This Row],[QTD_DEVS]]*Tabela1[[#This Row],[DIAS_MES]]*8),0)</f>
        <v>174.65683229813664</v>
      </c>
      <c r="K2" s="4">
        <v>300000</v>
      </c>
    </row>
    <row r="3" spans="1:11" x14ac:dyDescent="0.25">
      <c r="A3" s="11">
        <v>45658</v>
      </c>
      <c r="B3" s="5" t="s">
        <v>10</v>
      </c>
      <c r="C3" s="5" t="s">
        <v>11</v>
      </c>
      <c r="D3" s="3">
        <f>Tabela1[[#This Row],[DIAS_MES]]*Tabela1[[#This Row],[QTD_DEVS]]*8</f>
        <v>920</v>
      </c>
      <c r="E3" s="6">
        <v>40</v>
      </c>
      <c r="F3" s="6">
        <v>5</v>
      </c>
      <c r="G3" s="6">
        <v>5</v>
      </c>
      <c r="H3" s="6">
        <v>23</v>
      </c>
      <c r="I3" s="7">
        <v>160568</v>
      </c>
      <c r="J3" s="7">
        <f>IFERROR(Tabela1[[#This Row],[CUSTO_CONTRATADO]]/(Tabela1[[#This Row],[QTD_DEVS]]*Tabela1[[#This Row],[DIAS_MES]]*8),0)</f>
        <v>174.53043478260869</v>
      </c>
      <c r="K3" s="7">
        <v>150000</v>
      </c>
    </row>
    <row r="4" spans="1:11" x14ac:dyDescent="0.25">
      <c r="A4" s="10">
        <v>45658</v>
      </c>
      <c r="B4" s="2" t="s">
        <v>12</v>
      </c>
      <c r="C4" s="2" t="s">
        <v>13</v>
      </c>
      <c r="D4" s="3">
        <f>Tabela1[[#This Row],[DIAS_MES]]*Tabela1[[#This Row],[QTD_DEVS]]*8</f>
        <v>0</v>
      </c>
      <c r="E4" s="3">
        <v>0</v>
      </c>
      <c r="F4" s="3">
        <v>0</v>
      </c>
      <c r="G4" s="3">
        <v>0</v>
      </c>
      <c r="H4" s="3">
        <v>23</v>
      </c>
      <c r="I4" s="4">
        <v>0</v>
      </c>
      <c r="J4" s="4">
        <f>IFERROR(Tabela1[[#This Row],[CUSTO_CONTRATADO]]/(Tabela1[[#This Row],[QTD_DEVS]]*Tabela1[[#This Row],[DIAS_MES]]*8),0)</f>
        <v>0</v>
      </c>
      <c r="K4" s="4">
        <v>0</v>
      </c>
    </row>
    <row r="5" spans="1:11" x14ac:dyDescent="0.25">
      <c r="A5" s="11">
        <v>45658</v>
      </c>
      <c r="B5" s="5" t="s">
        <v>14</v>
      </c>
      <c r="C5" s="5" t="s">
        <v>15</v>
      </c>
      <c r="D5" s="3">
        <f>Tabela1[[#This Row],[DIAS_MES]]*Tabela1[[#This Row],[QTD_DEVS]]*8</f>
        <v>1840</v>
      </c>
      <c r="E5" s="6">
        <v>46</v>
      </c>
      <c r="F5" s="6">
        <v>10</v>
      </c>
      <c r="G5" s="6">
        <v>11</v>
      </c>
      <c r="H5" s="6">
        <v>23</v>
      </c>
      <c r="I5" s="7">
        <v>408886</v>
      </c>
      <c r="J5" s="7">
        <f>IFERROR(Tabela1[[#This Row],[CUSTO_CONTRATADO]]/(Tabela1[[#This Row],[QTD_DEVS]]*Tabela1[[#This Row],[DIAS_MES]]*8),0)</f>
        <v>222.22065217391304</v>
      </c>
      <c r="K5" s="7">
        <v>405120</v>
      </c>
    </row>
    <row r="6" spans="1:11" x14ac:dyDescent="0.25">
      <c r="A6" s="10">
        <v>45658</v>
      </c>
      <c r="B6" s="2" t="s">
        <v>16</v>
      </c>
      <c r="C6" s="2" t="s">
        <v>17</v>
      </c>
      <c r="D6" s="3">
        <f>Tabela1[[#This Row],[DIAS_MES]]*Tabela1[[#This Row],[QTD_DEVS]]*8</f>
        <v>1288</v>
      </c>
      <c r="E6" s="3">
        <v>6</v>
      </c>
      <c r="F6" s="3">
        <v>7</v>
      </c>
      <c r="G6" s="3">
        <v>7</v>
      </c>
      <c r="H6" s="3">
        <v>23</v>
      </c>
      <c r="I6" s="4">
        <v>144752</v>
      </c>
      <c r="J6" s="4">
        <f>IFERROR(Tabela1[[#This Row],[CUSTO_CONTRATADO]]/(Tabela1[[#This Row],[QTD_DEVS]]*Tabela1[[#This Row],[DIAS_MES]]*8),0)</f>
        <v>112.38509316770187</v>
      </c>
      <c r="K6" s="4">
        <v>150000</v>
      </c>
    </row>
    <row r="7" spans="1:11" x14ac:dyDescent="0.25">
      <c r="A7" s="11">
        <v>45689</v>
      </c>
      <c r="B7" s="5" t="s">
        <v>8</v>
      </c>
      <c r="C7" s="5" t="s">
        <v>9</v>
      </c>
      <c r="D7" s="3">
        <f>Tabela1[[#This Row],[DIAS_MES]]*Tabela1[[#This Row],[QTD_DEVS]]*8</f>
        <v>1288</v>
      </c>
      <c r="E7" s="6">
        <v>48</v>
      </c>
      <c r="F7" s="6">
        <v>7</v>
      </c>
      <c r="G7" s="6">
        <v>7</v>
      </c>
      <c r="H7" s="6">
        <v>23</v>
      </c>
      <c r="I7" s="7">
        <v>224958</v>
      </c>
      <c r="J7" s="7">
        <f>IFERROR(Tabela1[[#This Row],[CUSTO_CONTRATADO]]/(Tabela1[[#This Row],[QTD_DEVS]]*Tabela1[[#This Row],[DIAS_MES]]*8),0)</f>
        <v>174.65683229813664</v>
      </c>
      <c r="K7" s="7">
        <v>250000</v>
      </c>
    </row>
    <row r="8" spans="1:11" x14ac:dyDescent="0.25">
      <c r="A8" s="10">
        <v>45689</v>
      </c>
      <c r="B8" s="2" t="s">
        <v>10</v>
      </c>
      <c r="C8" s="2" t="s">
        <v>11</v>
      </c>
      <c r="D8" s="3">
        <f>Tabela1[[#This Row],[DIAS_MES]]*Tabela1[[#This Row],[QTD_DEVS]]*8</f>
        <v>920</v>
      </c>
      <c r="E8" s="3">
        <v>40</v>
      </c>
      <c r="F8" s="3">
        <v>5</v>
      </c>
      <c r="G8" s="3">
        <v>5</v>
      </c>
      <c r="H8" s="3">
        <v>23</v>
      </c>
      <c r="I8" s="4">
        <v>160568</v>
      </c>
      <c r="J8" s="4">
        <f>IFERROR(Tabela1[[#This Row],[CUSTO_CONTRATADO]]/(Tabela1[[#This Row],[QTD_DEVS]]*Tabela1[[#This Row],[DIAS_MES]]*8),0)</f>
        <v>174.53043478260869</v>
      </c>
      <c r="K8" s="4">
        <v>200000</v>
      </c>
    </row>
    <row r="9" spans="1:11" x14ac:dyDescent="0.25">
      <c r="A9" s="11">
        <v>45689</v>
      </c>
      <c r="B9" s="5" t="s">
        <v>12</v>
      </c>
      <c r="C9" s="5" t="s">
        <v>13</v>
      </c>
      <c r="D9" s="3">
        <f>Tabela1[[#This Row],[DIAS_MES]]*Tabela1[[#This Row],[QTD_DEVS]]*8</f>
        <v>0</v>
      </c>
      <c r="E9" s="6">
        <v>0</v>
      </c>
      <c r="F9" s="6">
        <v>0</v>
      </c>
      <c r="G9" s="6">
        <v>0</v>
      </c>
      <c r="H9" s="6">
        <v>23</v>
      </c>
      <c r="I9" s="7">
        <v>0</v>
      </c>
      <c r="J9" s="7">
        <f>IFERROR(Tabela1[[#This Row],[CUSTO_CONTRATADO]]/(Tabela1[[#This Row],[QTD_DEVS]]*Tabela1[[#This Row],[DIAS_MES]]*8),0)</f>
        <v>0</v>
      </c>
      <c r="K9" s="7">
        <v>0</v>
      </c>
    </row>
    <row r="10" spans="1:11" x14ac:dyDescent="0.25">
      <c r="A10" s="10">
        <v>45689</v>
      </c>
      <c r="B10" s="2" t="s">
        <v>14</v>
      </c>
      <c r="C10" s="2" t="s">
        <v>15</v>
      </c>
      <c r="D10" s="3">
        <f>Tabela1[[#This Row],[DIAS_MES]]*Tabela1[[#This Row],[QTD_DEVS]]*8</f>
        <v>1840</v>
      </c>
      <c r="E10" s="3">
        <v>46</v>
      </c>
      <c r="F10" s="3">
        <v>10</v>
      </c>
      <c r="G10" s="3">
        <v>11</v>
      </c>
      <c r="H10" s="3">
        <v>23</v>
      </c>
      <c r="I10" s="4">
        <v>408886</v>
      </c>
      <c r="J10" s="4">
        <f>IFERROR(Tabela1[[#This Row],[CUSTO_CONTRATADO]]/(Tabela1[[#This Row],[QTD_DEVS]]*Tabela1[[#This Row],[DIAS_MES]]*8),0)</f>
        <v>222.22065217391304</v>
      </c>
      <c r="K10" s="4">
        <v>450000</v>
      </c>
    </row>
    <row r="11" spans="1:11" x14ac:dyDescent="0.25">
      <c r="A11" s="12">
        <v>45689</v>
      </c>
      <c r="B11" s="1" t="s">
        <v>16</v>
      </c>
      <c r="C11" s="1" t="s">
        <v>17</v>
      </c>
      <c r="D11" s="3">
        <f>Tabela1[[#This Row],[DIAS_MES]]*Tabela1[[#This Row],[QTD_DEVS]]*8</f>
        <v>1288</v>
      </c>
      <c r="E11" s="8">
        <v>56</v>
      </c>
      <c r="F11" s="8">
        <v>7</v>
      </c>
      <c r="G11" s="8">
        <v>7</v>
      </c>
      <c r="H11" s="8">
        <v>23</v>
      </c>
      <c r="I11" s="9">
        <v>144752</v>
      </c>
      <c r="J11" s="9">
        <f>IFERROR(Tabela1[[#This Row],[CUSTO_CONTRATADO]]/(Tabela1[[#This Row],[QTD_DEVS]]*Tabela1[[#This Row],[DIAS_MES]]*8),0)</f>
        <v>112.38509316770187</v>
      </c>
      <c r="K11" s="9">
        <v>165000</v>
      </c>
    </row>
    <row r="12" spans="1:11" x14ac:dyDescent="0.25">
      <c r="A12" s="11">
        <v>45717</v>
      </c>
      <c r="B12" s="5" t="s">
        <v>8</v>
      </c>
      <c r="C12" s="5" t="s">
        <v>9</v>
      </c>
      <c r="D12" s="3">
        <f>Tabela1[[#This Row],[DIAS_MES]]*Tabela1[[#This Row],[QTD_DEVS]]*8</f>
        <v>1008</v>
      </c>
      <c r="E12" s="6">
        <v>48</v>
      </c>
      <c r="F12" s="6">
        <v>7</v>
      </c>
      <c r="G12" s="6">
        <v>7</v>
      </c>
      <c r="H12" s="6">
        <v>18</v>
      </c>
      <c r="I12" s="7">
        <v>210000</v>
      </c>
      <c r="J12" s="7">
        <f>IFERROR(Tabela1[[#This Row],[CUSTO_CONTRATADO]]/(Tabela1[[#This Row],[QTD_DEVS]]*Tabela1[[#This Row],[DIAS_MES]]*8),0)</f>
        <v>208.33333333333334</v>
      </c>
      <c r="K12" s="7">
        <v>250000</v>
      </c>
    </row>
    <row r="13" spans="1:11" x14ac:dyDescent="0.25">
      <c r="A13" s="11">
        <v>45717</v>
      </c>
      <c r="B13" s="2" t="s">
        <v>10</v>
      </c>
      <c r="C13" s="2" t="s">
        <v>11</v>
      </c>
      <c r="D13" s="3">
        <f>Tabela1[[#This Row],[DIAS_MES]]*Tabela1[[#This Row],[QTD_DEVS]]*8</f>
        <v>720</v>
      </c>
      <c r="E13" s="6">
        <v>40</v>
      </c>
      <c r="F13" s="3">
        <v>5</v>
      </c>
      <c r="G13" s="3">
        <v>5</v>
      </c>
      <c r="H13" s="6">
        <v>18</v>
      </c>
      <c r="I13" s="4">
        <v>150000</v>
      </c>
      <c r="J13" s="7">
        <f>IFERROR(Tabela1[[#This Row],[CUSTO_CONTRATADO]]/(Tabela1[[#This Row],[QTD_DEVS]]*Tabela1[[#This Row],[DIAS_MES]]*8),0)</f>
        <v>208.33333333333334</v>
      </c>
      <c r="K13" s="4">
        <v>200000</v>
      </c>
    </row>
    <row r="14" spans="1:11" x14ac:dyDescent="0.25">
      <c r="A14" s="11">
        <v>45717</v>
      </c>
      <c r="B14" s="5" t="s">
        <v>12</v>
      </c>
      <c r="C14" s="5" t="s">
        <v>13</v>
      </c>
      <c r="D14" s="3">
        <f>Tabela1[[#This Row],[DIAS_MES]]*Tabela1[[#This Row],[QTD_DEVS]]*8</f>
        <v>0</v>
      </c>
      <c r="E14" s="6">
        <v>0</v>
      </c>
      <c r="F14" s="6">
        <v>0</v>
      </c>
      <c r="G14" s="6">
        <v>0</v>
      </c>
      <c r="H14" s="6">
        <v>18</v>
      </c>
      <c r="I14" s="7">
        <v>0</v>
      </c>
      <c r="J14" s="7">
        <f>IFERROR(Tabela1[[#This Row],[CUSTO_CONTRATADO]]/(Tabela1[[#This Row],[QTD_DEVS]]*Tabela1[[#This Row],[DIAS_MES]]*8),0)</f>
        <v>0</v>
      </c>
      <c r="K14" s="7">
        <v>0</v>
      </c>
    </row>
    <row r="15" spans="1:11" x14ac:dyDescent="0.25">
      <c r="A15" s="11">
        <v>45717</v>
      </c>
      <c r="B15" s="2" t="s">
        <v>14</v>
      </c>
      <c r="C15" s="2" t="s">
        <v>15</v>
      </c>
      <c r="D15" s="3">
        <f>Tabela1[[#This Row],[DIAS_MES]]*Tabela1[[#This Row],[QTD_DEVS]]*8</f>
        <v>1440</v>
      </c>
      <c r="E15" s="6">
        <v>46</v>
      </c>
      <c r="F15" s="3">
        <v>10</v>
      </c>
      <c r="G15" s="3">
        <v>11</v>
      </c>
      <c r="H15" s="6">
        <v>18</v>
      </c>
      <c r="I15" s="4">
        <v>400000</v>
      </c>
      <c r="J15" s="7">
        <f>IFERROR(Tabela1[[#This Row],[CUSTO_CONTRATADO]]/(Tabela1[[#This Row],[QTD_DEVS]]*Tabela1[[#This Row],[DIAS_MES]]*8),0)</f>
        <v>277.77777777777777</v>
      </c>
      <c r="K15" s="4">
        <v>450000</v>
      </c>
    </row>
    <row r="16" spans="1:11" x14ac:dyDescent="0.25">
      <c r="A16" s="11">
        <v>45717</v>
      </c>
      <c r="B16" s="1" t="s">
        <v>16</v>
      </c>
      <c r="C16" s="1" t="s">
        <v>17</v>
      </c>
      <c r="D16" s="3">
        <f>Tabela1[[#This Row],[DIAS_MES]]*Tabela1[[#This Row],[QTD_DEVS]]*8</f>
        <v>1008</v>
      </c>
      <c r="E16" s="6">
        <v>56</v>
      </c>
      <c r="F16" s="8">
        <v>7</v>
      </c>
      <c r="G16" s="8">
        <v>7</v>
      </c>
      <c r="H16" s="6">
        <v>18</v>
      </c>
      <c r="I16" s="9">
        <v>135000</v>
      </c>
      <c r="J16" s="7">
        <f>IFERROR(Tabela1[[#This Row],[CUSTO_CONTRATADO]]/(Tabela1[[#This Row],[QTD_DEVS]]*Tabela1[[#This Row],[DIAS_MES]]*8),0)</f>
        <v>133.92857142857142</v>
      </c>
      <c r="K16" s="9">
        <v>165000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Freitas - Arruda Consulting</dc:creator>
  <cp:lastModifiedBy>Kleber Freitas - Arruda Consulting</cp:lastModifiedBy>
  <dcterms:created xsi:type="dcterms:W3CDTF">2025-02-25T16:37:18Z</dcterms:created>
  <dcterms:modified xsi:type="dcterms:W3CDTF">2025-04-30T20:16:51Z</dcterms:modified>
</cp:coreProperties>
</file>